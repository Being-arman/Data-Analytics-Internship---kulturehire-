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man\Downloads\"/>
    </mc:Choice>
  </mc:AlternateContent>
  <xr:revisionPtr revIDLastSave="0" documentId="13_ncr:1_{40063AF5-F814-4504-B160-8BAC76681398}" xr6:coauthVersionLast="47" xr6:coauthVersionMax="47" xr10:uidLastSave="{00000000-0000-0000-0000-000000000000}"/>
  <bookViews>
    <workbookView xWindow="-108" yWindow="-108" windowWidth="23256" windowHeight="12456" xr2:uid="{7D65AE5E-B855-4ACF-991B-4713640FBF75}"/>
  </bookViews>
  <sheets>
    <sheet name="SumIF" sheetId="15" r:id="rId1"/>
    <sheet name="AverageIF" sheetId="23" r:id="rId2"/>
    <sheet name="CountIF" sheetId="24" r:id="rId3"/>
    <sheet name="RUP, RDown &amp; MRound" sheetId="40" r:id="rId4"/>
    <sheet name="Floor &amp; Ceiling" sheetId="35" r:id="rId5"/>
    <sheet name="IFS" sheetId="1" state="hidden" r:id="rId6"/>
  </sheets>
  <definedNames>
    <definedName name="_xlnm._FilterDatabase" localSheetId="0" hidden="1">SumIF!$B$4:$E$16</definedName>
    <definedName name="Z_0458C18D_9EF5_4516_9145_CA54D8EB1865_.wvu.FilterData" localSheetId="0" hidden="1">SumIF!$B$4:$E$16</definedName>
    <definedName name="Z_08E755F8_82E9_4D95_862B_81F55FBDDDF6_.wvu.FilterData" localSheetId="0" hidden="1">SumIF!$B$4:$E$16</definedName>
    <definedName name="Z_0BF42E77_7016_4BE4_A5AB_A49974630D91_.wvu.FilterData" localSheetId="0" hidden="1">SumIF!$B$4:$E$16</definedName>
    <definedName name="Z_0E02FCC8_6440_4859_9F6B_C77617EF5D89_.wvu.FilterData" localSheetId="0" hidden="1">SumIF!$B$4:$E$16</definedName>
    <definedName name="Z_86D36E03_787A_41EB_85FF_8BB8A222055B_.wvu.FilterData" localSheetId="0" hidden="1">SumIF!$B$4:$E$16</definedName>
    <definedName name="Z_B19B24CB_B859_49E3_8AE0_2D671510EE4F_.wvu.FilterData" localSheetId="0" hidden="1">SumIF!$B$4:$E$16</definedName>
    <definedName name="Z_C453A932_6110_4A84_A9C2_26C809391387_.wvu.FilterData" localSheetId="0" hidden="1">SumIF!$B$4:$E$16</definedName>
    <definedName name="Z_D9413B31_FDB2_4AE8_80A8_7F09954E703C_.wvu.FilterData" localSheetId="0" hidden="1">SumIF!$B$4:$E$16</definedName>
    <definedName name="Z_DFE0B66A_2DCB_4802_A91B_F836707AD43C_.wvu.FilterData" localSheetId="0" hidden="1">SumIF!$B$4:$E$16</definedName>
    <definedName name="Z_EE811897_5BF5_4321_9879_5B7EDF90A350_.wvu.FilterData" localSheetId="0" hidden="1">SumIF!$B$4:$E$16</definedName>
    <definedName name="Z_FF03E81F_A9A8_4546_A9C3_77A6EEA02ED9_.wvu.FilterData" localSheetId="0" hidden="1">SumIF!$B$4:$E$16</definedName>
  </definedNames>
  <calcPr calcId="191029"/>
  <customWorkbookViews>
    <customWorkbookView name="if3" guid="{86D36E03-787A-41EB-85FF-8BB8A222055B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1" guid="{C453A932-6110-4A84-A9C2-26C809391387}" maximized="1" xWindow="-8" yWindow="-8" windowWidth="1382" windowHeight="784" activeSheetId="36"/>
    <customWorkbookView name="maxifs8" guid="{0BF42E77-7016-4BE4-A5AB-A49974630D91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1" guid="{DFE0B66A-2DCB-4802-A91B-F836707AD43C}" maximized="1" xWindow="-8" yWindow="-8" windowWidth="1382" windowHeight="784" activeSheetId="33"/>
    <customWorkbookView name="concat" guid="{3511E245-32F9-4CFF-8540-6B03C6FAE218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hardconcat" guid="{C908A6D6-4C77-416B-BC46-6F501B5F842F}" maximized="1" xWindow="-8" yWindow="-8" windowWidth="1382" windowHeight="784" activeSheetId="43"/>
    <customWorkbookView name="proper" guid="{C575B46A-1D4C-489C-97AE-5DAB6560E17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upper" guid="{58306194-C83B-413E-AC5F-AD717216CB21}" maximized="1" xWindow="-8" yWindow="-8" windowWidth="1382" windowHeight="784" activeSheetId="42"/>
    <customWorkbookView name="mid" guid="{E4375DB4-4B74-46BC-A9F2-C5C5055B366F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left" guid="{DF16608F-40E8-490E-B08D-ED6EEAB8B9EC}" maximized="1" xWindow="-8" yWindow="-8" windowWidth="1382" windowHeight="784" activeSheetId="41"/>
    <customWorkbookView name="mround" guid="{2032DE14-E33D-44B5-9022-A2B48F059704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roundup" guid="{8BEA0E04-8B9A-4A2D-9B80-4E7685E22D5E}" maximized="1" xWindow="-8" yWindow="-8" windowWidth="1382" windowHeight="784" activeSheetId="40"/>
    <customWorkbookView name="ceiling" guid="{0125BE01-BBC8-4E5A-9A9A-3D1257916B8C}" maximized="1" xWindow="-8" yWindow="-8" windowWidth="1382" windowHeight="784" activeSheetId="35"/>
    <customWorkbookView name="floor" guid="{7A9AB605-DB82-470C-B86B-95E2AB3523F6}" maximized="1" xWindow="-8" yWindow="-8" windowWidth="1382" windowHeight="784" activeSheetId="35"/>
    <customWorkbookView name="minifs8" guid="{FC8D231F-57F9-45EE-9DEF-D7ED111600EB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1" guid="{BCAB4838-A37A-4BCF-A9C9-CC50C95F58C7}" maximized="1" xWindow="-8" yWindow="-8" windowWidth="1382" windowHeight="784" activeSheetId="34"/>
    <customWorkbookView name="countifs8" guid="{E1A67331-473F-4161-806C-BE35870C93B5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1" guid="{629A478C-29B1-4F25-A016-63CE32A1627F}" maximized="1" xWindow="-8" yWindow="-8" windowWidth="1382" windowHeight="784" activeSheetId="31"/>
    <customWorkbookView name="averageifs8" guid="{F789A6E6-3D06-4D93-BF02-46FA1A2548B2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1" guid="{422703F6-63C4-435C-AFE7-1030286678F6}" maximized="1" xWindow="-8" yWindow="-8" windowWidth="1382" windowHeight="784" activeSheetId="32"/>
    <customWorkbookView name="sumifs8" guid="{F3CB97AD-592C-4B6E-8AE3-1CD47479060C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1" guid="{A5292A6B-6F92-4AB3-B051-EF87F39FC489}" maximized="1" xWindow="-8" yWindow="-8" windowWidth="1382" windowHeight="784" activeSheetId="25"/>
    <customWorkbookView name="sumif1" guid="{C090DFAD-A23A-4678-87F2-095D84EBDDE8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6" guid="{8EBF087E-11C5-42EE-B564-FAEE72C86C17}" maximized="1" xWindow="-8" yWindow="-8" windowWidth="1382" windowHeight="744" activeSheetId="15"/>
    <customWorkbookView name="averageif1" guid="{F716839F-5448-40FC-95BC-286199FD6764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6" guid="{0BFB30CE-F6D9-44B3-99BA-62858BF46600}" maximized="1" xWindow="-8" yWindow="-8" windowWidth="1382" windowHeight="744" activeSheetId="23"/>
    <customWorkbookView name="countif1" guid="{E3977DAC-58A9-43A5-A2CD-037AE84A3934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6" guid="{576A445C-3D9A-438D-AC68-B679E3D65634}" maximized="1" xWindow="-8" yWindow="-8" windowWidth="1382" windowHeight="744" activeSheetId="2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40" l="1"/>
  <c r="F37" i="40"/>
  <c r="F38" i="40"/>
  <c r="F39" i="40"/>
  <c r="F40" i="40"/>
  <c r="F41" i="40"/>
  <c r="F42" i="40"/>
  <c r="F43" i="40"/>
  <c r="F35" i="40"/>
  <c r="F20" i="35"/>
  <c r="G21" i="40"/>
  <c r="G22" i="40"/>
  <c r="G23" i="40"/>
  <c r="G24" i="40"/>
  <c r="G25" i="40"/>
  <c r="G26" i="40"/>
  <c r="G27" i="40"/>
  <c r="G28" i="40"/>
  <c r="G20" i="40"/>
  <c r="F20" i="40"/>
  <c r="F21" i="40"/>
  <c r="F22" i="40"/>
  <c r="F23" i="40"/>
  <c r="F24" i="40"/>
  <c r="F25" i="40"/>
  <c r="F26" i="40"/>
  <c r="F27" i="40"/>
  <c r="F28" i="40"/>
  <c r="F6" i="40"/>
  <c r="F7" i="40"/>
  <c r="F8" i="40"/>
  <c r="F9" i="40"/>
  <c r="F10" i="40"/>
  <c r="F11" i="40"/>
  <c r="F12" i="40"/>
  <c r="F13" i="40"/>
  <c r="F5" i="40"/>
  <c r="F6" i="35"/>
  <c r="F7" i="35"/>
  <c r="F8" i="35"/>
  <c r="F9" i="35"/>
  <c r="F10" i="35"/>
  <c r="F11" i="35"/>
  <c r="F12" i="35"/>
  <c r="F13" i="35"/>
  <c r="F5" i="35"/>
  <c r="F21" i="35"/>
  <c r="F22" i="35"/>
  <c r="F23" i="35"/>
  <c r="F24" i="35"/>
  <c r="F25" i="35"/>
  <c r="F26" i="35"/>
  <c r="F27" i="35"/>
  <c r="F28" i="35"/>
  <c r="J111" i="24"/>
  <c r="J78" i="24"/>
  <c r="J8" i="24"/>
  <c r="I111" i="23"/>
  <c r="I95" i="23"/>
  <c r="I78" i="23"/>
  <c r="I111" i="15"/>
  <c r="I95" i="15"/>
  <c r="I78" i="15"/>
  <c r="I40" i="15"/>
  <c r="I24" i="15"/>
  <c r="I8" i="15" l="1"/>
  <c r="I40" i="23" l="1"/>
  <c r="I24" i="23"/>
  <c r="I8" i="23"/>
  <c r="J40" i="24"/>
  <c r="J24" i="24"/>
  <c r="G2" i="1" a="1"/>
  <c r="G2" i="1" s="1"/>
  <c r="G3" i="1" a="1"/>
  <c r="G3" i="1" s="1"/>
  <c r="G4" i="1" a="1"/>
  <c r="G4" i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111" i="24" l="1"/>
  <c r="M95" i="24"/>
  <c r="M78" i="24"/>
  <c r="M40" i="24"/>
  <c r="M24" i="24"/>
  <c r="M8" i="24"/>
  <c r="L111" i="23"/>
  <c r="L95" i="23"/>
  <c r="L78" i="23"/>
  <c r="L40" i="23"/>
  <c r="L24" i="23"/>
  <c r="L8" i="23"/>
  <c r="L111" i="15"/>
  <c r="L95" i="15"/>
  <c r="L78" i="15"/>
  <c r="L40" i="15"/>
  <c r="L24" i="15"/>
  <c r="L8" i="15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<sst xmlns="http://schemas.openxmlformats.org/spreadsheetml/2006/main" count="898" uniqueCount="89">
  <si>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</si>
  <si>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</si>
  <si>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</si>
  <si>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</si>
  <si>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</si>
  <si>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</si>
  <si>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</si>
  <si>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</si>
  <si>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</si>
  <si>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</si>
  <si>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</si>
  <si>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</si>
  <si>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</si>
  <si>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</si>
  <si>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</si>
  <si>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</si>
  <si>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</si>
  <si>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</si>
  <si>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</si>
  <si>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</si>
  <si>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</si>
  <si>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</si>
  <si>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</si>
  <si>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</si>
  <si>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</si>
  <si>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</si>
  <si>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</si>
  <si>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</si>
  <si>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</si>
  <si>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</si>
  <si>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</si>
  <si>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</si>
  <si>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</si>
  <si>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</si>
  <si>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</si>
  <si>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</si>
  <si>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</si>
  <si>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</si>
  <si>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</si>
  <si>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</si>
  <si>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</si>
  <si>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</si>
  <si>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</si>
  <si>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</si>
  <si>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</si>
  <si>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</si>
  <si>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</si>
  <si>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</si>
  <si>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</si>
  <si>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</si>
  <si>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</si>
  <si>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</si>
  <si>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</si>
  <si>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</si>
  <si>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</si>
  <si>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</si>
  <si>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</si>
  <si>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</si>
  <si>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</si>
  <si>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</si>
  <si>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</si>
  <si>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</si>
  <si>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</si>
  <si>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</si>
  <si>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</si>
  <si>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</si>
  <si>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</si>
  <si>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</si>
  <si>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</si>
  <si>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</si>
  <si>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</si>
  <si>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</si>
  <si>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</si>
  <si>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</si>
  <si>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</si>
  <si>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</si>
  <si>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</si>
  <si>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</si>
  <si>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</si>
  <si>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</si>
  <si>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</si>
  <si>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</si>
  <si>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</si>
  <si>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</si>
  <si>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</si>
  <si>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</si>
  <si>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Rounded Down Value</t>
  </si>
  <si>
    <t>Rounded UP Value</t>
  </si>
  <si>
    <t>Round the value of the price to the nearest lower  &amp; Higher value. But retain 1 decimal after the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</si>
</sst>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sz val="14"/>
      <color theme="0"/>
      <name val="Calibri"/>
      <family val="2"/>
    </font>
    <font>
      <b/>
      <sz val="14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</fills>
  <borders count="3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 vertical="center" readingOrder="1"/>
    </xf>
    <xf numFmtId="0" fontId="1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readingOrder="1"/>
    </xf>
    <xf numFmtId="0" fontId="13" fillId="3" borderId="1" xfId="0" applyFont="1" applyFill="1" applyBorder="1" applyAlignment="1">
      <alignment horizontal="center" vertical="center" readingOrder="1"/>
    </xf>
    <xf numFmtId="0" fontId="14" fillId="3" borderId="1" xfId="0" applyFont="1" applyFill="1" applyBorder="1" applyAlignment="1">
      <alignment horizontal="center" vertical="center" readingOrder="1"/>
    </xf>
  </cellXfs>
  <cellStyles count="1">
    <cellStyle name="Normal" xfId="0" builtinId="0"/>
  </cellStyles>
  <dxfs count="1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 UP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2.bin"/><Relationship Id="rId21" Type="http://schemas.openxmlformats.org/officeDocument/2006/relationships/printerSettings" Target="../printerSettings/printerSettings97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61" Type="http://schemas.openxmlformats.org/officeDocument/2006/relationships/printerSettings" Target="../printerSettings/printerSettings137.bin"/><Relationship Id="rId19" Type="http://schemas.openxmlformats.org/officeDocument/2006/relationships/printerSettings" Target="../printerSettings/printerSettings9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86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39" Type="http://schemas.openxmlformats.org/officeDocument/2006/relationships/printerSettings" Target="../printerSettings/printerSettings115.bin"/><Relationship Id="rId34" Type="http://schemas.openxmlformats.org/officeDocument/2006/relationships/printerSettings" Target="../printerSettings/printerSettings110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72.bin"/><Relationship Id="rId21" Type="http://schemas.openxmlformats.org/officeDocument/2006/relationships/printerSettings" Target="../printerSettings/printerSettings167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61" Type="http://schemas.openxmlformats.org/officeDocument/2006/relationships/printerSettings" Target="../printerSettings/printerSettings207.bin"/><Relationship Id="rId19" Type="http://schemas.openxmlformats.org/officeDocument/2006/relationships/printerSettings" Target="../printerSettings/printerSettings16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56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39" Type="http://schemas.openxmlformats.org/officeDocument/2006/relationships/printerSettings" Target="../printerSettings/printerSettings185.bin"/><Relationship Id="rId34" Type="http://schemas.openxmlformats.org/officeDocument/2006/relationships/printerSettings" Target="../printerSettings/printerSettings180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4.bin"/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3" Type="http://schemas.openxmlformats.org/officeDocument/2006/relationships/printerSettings" Target="../printerSettings/printerSettings219.bin"/><Relationship Id="rId21" Type="http://schemas.openxmlformats.org/officeDocument/2006/relationships/printerSettings" Target="../printerSettings/printerSettings237.bin"/><Relationship Id="rId7" Type="http://schemas.openxmlformats.org/officeDocument/2006/relationships/printerSettings" Target="../printerSettings/printerSettings223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drawing" Target="../drawings/drawing4.xml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0" Type="http://schemas.openxmlformats.org/officeDocument/2006/relationships/printerSettings" Target="../printerSettings/printerSettings236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5" Type="http://schemas.openxmlformats.org/officeDocument/2006/relationships/printerSettings" Target="../printerSettings/printerSettings221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10" Type="http://schemas.openxmlformats.org/officeDocument/2006/relationships/printerSettings" Target="../printerSettings/printerSettings226.bin"/><Relationship Id="rId19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6.bin"/><Relationship Id="rId21" Type="http://schemas.openxmlformats.org/officeDocument/2006/relationships/printerSettings" Target="../printerSettings/printerSettings261.bin"/><Relationship Id="rId42" Type="http://schemas.openxmlformats.org/officeDocument/2006/relationships/printerSettings" Target="../printerSettings/printerSettings282.bin"/><Relationship Id="rId47" Type="http://schemas.openxmlformats.org/officeDocument/2006/relationships/printerSettings" Target="../printerSettings/printerSettings287.bin"/><Relationship Id="rId63" Type="http://schemas.openxmlformats.org/officeDocument/2006/relationships/printerSettings" Target="../printerSettings/printerSettings303.bin"/><Relationship Id="rId68" Type="http://schemas.openxmlformats.org/officeDocument/2006/relationships/printerSettings" Target="../printerSettings/printerSettings308.bin"/><Relationship Id="rId2" Type="http://schemas.openxmlformats.org/officeDocument/2006/relationships/printerSettings" Target="../printerSettings/printerSettings242.bin"/><Relationship Id="rId16" Type="http://schemas.openxmlformats.org/officeDocument/2006/relationships/printerSettings" Target="../printerSettings/printerSettings256.bin"/><Relationship Id="rId29" Type="http://schemas.openxmlformats.org/officeDocument/2006/relationships/printerSettings" Target="../printerSettings/printerSettings269.bin"/><Relationship Id="rId11" Type="http://schemas.openxmlformats.org/officeDocument/2006/relationships/printerSettings" Target="../printerSettings/printerSettings251.bin"/><Relationship Id="rId24" Type="http://schemas.openxmlformats.org/officeDocument/2006/relationships/printerSettings" Target="../printerSettings/printerSettings264.bin"/><Relationship Id="rId32" Type="http://schemas.openxmlformats.org/officeDocument/2006/relationships/printerSettings" Target="../printerSettings/printerSettings272.bin"/><Relationship Id="rId37" Type="http://schemas.openxmlformats.org/officeDocument/2006/relationships/printerSettings" Target="../printerSettings/printerSettings277.bin"/><Relationship Id="rId40" Type="http://schemas.openxmlformats.org/officeDocument/2006/relationships/printerSettings" Target="../printerSettings/printerSettings280.bin"/><Relationship Id="rId45" Type="http://schemas.openxmlformats.org/officeDocument/2006/relationships/printerSettings" Target="../printerSettings/printerSettings285.bin"/><Relationship Id="rId53" Type="http://schemas.openxmlformats.org/officeDocument/2006/relationships/printerSettings" Target="../printerSettings/printerSettings293.bin"/><Relationship Id="rId58" Type="http://schemas.openxmlformats.org/officeDocument/2006/relationships/printerSettings" Target="../printerSettings/printerSettings298.bin"/><Relationship Id="rId66" Type="http://schemas.openxmlformats.org/officeDocument/2006/relationships/printerSettings" Target="../printerSettings/printerSettings306.bin"/><Relationship Id="rId74" Type="http://schemas.openxmlformats.org/officeDocument/2006/relationships/printerSettings" Target="../printerSettings/printerSettings314.bin"/><Relationship Id="rId5" Type="http://schemas.openxmlformats.org/officeDocument/2006/relationships/printerSettings" Target="../printerSettings/printerSettings245.bin"/><Relationship Id="rId61" Type="http://schemas.openxmlformats.org/officeDocument/2006/relationships/printerSettings" Target="../printerSettings/printerSettings301.bin"/><Relationship Id="rId19" Type="http://schemas.openxmlformats.org/officeDocument/2006/relationships/printerSettings" Target="../printerSettings/printerSettings259.bin"/><Relationship Id="rId14" Type="http://schemas.openxmlformats.org/officeDocument/2006/relationships/printerSettings" Target="../printerSettings/printerSettings254.bin"/><Relationship Id="rId22" Type="http://schemas.openxmlformats.org/officeDocument/2006/relationships/printerSettings" Target="../printerSettings/printerSettings262.bin"/><Relationship Id="rId27" Type="http://schemas.openxmlformats.org/officeDocument/2006/relationships/printerSettings" Target="../printerSettings/printerSettings267.bin"/><Relationship Id="rId30" Type="http://schemas.openxmlformats.org/officeDocument/2006/relationships/printerSettings" Target="../printerSettings/printerSettings270.bin"/><Relationship Id="rId35" Type="http://schemas.openxmlformats.org/officeDocument/2006/relationships/printerSettings" Target="../printerSettings/printerSettings275.bin"/><Relationship Id="rId43" Type="http://schemas.openxmlformats.org/officeDocument/2006/relationships/printerSettings" Target="../printerSettings/printerSettings283.bin"/><Relationship Id="rId48" Type="http://schemas.openxmlformats.org/officeDocument/2006/relationships/printerSettings" Target="../printerSettings/printerSettings288.bin"/><Relationship Id="rId56" Type="http://schemas.openxmlformats.org/officeDocument/2006/relationships/printerSettings" Target="../printerSettings/printerSettings296.bin"/><Relationship Id="rId64" Type="http://schemas.openxmlformats.org/officeDocument/2006/relationships/printerSettings" Target="../printerSettings/printerSettings304.bin"/><Relationship Id="rId69" Type="http://schemas.openxmlformats.org/officeDocument/2006/relationships/printerSettings" Target="../printerSettings/printerSettings309.bin"/><Relationship Id="rId8" Type="http://schemas.openxmlformats.org/officeDocument/2006/relationships/printerSettings" Target="../printerSettings/printerSettings248.bin"/><Relationship Id="rId51" Type="http://schemas.openxmlformats.org/officeDocument/2006/relationships/printerSettings" Target="../printerSettings/printerSettings291.bin"/><Relationship Id="rId72" Type="http://schemas.openxmlformats.org/officeDocument/2006/relationships/printerSettings" Target="../printerSettings/printerSettings312.bin"/><Relationship Id="rId3" Type="http://schemas.openxmlformats.org/officeDocument/2006/relationships/printerSettings" Target="../printerSettings/printerSettings243.bin"/><Relationship Id="rId12" Type="http://schemas.openxmlformats.org/officeDocument/2006/relationships/printerSettings" Target="../printerSettings/printerSettings252.bin"/><Relationship Id="rId17" Type="http://schemas.openxmlformats.org/officeDocument/2006/relationships/printerSettings" Target="../printerSettings/printerSettings257.bin"/><Relationship Id="rId25" Type="http://schemas.openxmlformats.org/officeDocument/2006/relationships/printerSettings" Target="../printerSettings/printerSettings265.bin"/><Relationship Id="rId33" Type="http://schemas.openxmlformats.org/officeDocument/2006/relationships/printerSettings" Target="../printerSettings/printerSettings273.bin"/><Relationship Id="rId38" Type="http://schemas.openxmlformats.org/officeDocument/2006/relationships/printerSettings" Target="../printerSettings/printerSettings278.bin"/><Relationship Id="rId46" Type="http://schemas.openxmlformats.org/officeDocument/2006/relationships/printerSettings" Target="../printerSettings/printerSettings286.bin"/><Relationship Id="rId59" Type="http://schemas.openxmlformats.org/officeDocument/2006/relationships/printerSettings" Target="../printerSettings/printerSettings299.bin"/><Relationship Id="rId67" Type="http://schemas.openxmlformats.org/officeDocument/2006/relationships/printerSettings" Target="../printerSettings/printerSettings307.bin"/><Relationship Id="rId20" Type="http://schemas.openxmlformats.org/officeDocument/2006/relationships/printerSettings" Target="../printerSettings/printerSettings260.bin"/><Relationship Id="rId41" Type="http://schemas.openxmlformats.org/officeDocument/2006/relationships/printerSettings" Target="../printerSettings/printerSettings281.bin"/><Relationship Id="rId54" Type="http://schemas.openxmlformats.org/officeDocument/2006/relationships/printerSettings" Target="../printerSettings/printerSettings294.bin"/><Relationship Id="rId62" Type="http://schemas.openxmlformats.org/officeDocument/2006/relationships/printerSettings" Target="../printerSettings/printerSettings302.bin"/><Relationship Id="rId70" Type="http://schemas.openxmlformats.org/officeDocument/2006/relationships/printerSettings" Target="../printerSettings/printerSettings310.bin"/><Relationship Id="rId75" Type="http://schemas.openxmlformats.org/officeDocument/2006/relationships/printerSettings" Target="../printerSettings/printerSettings315.bin"/><Relationship Id="rId1" Type="http://schemas.openxmlformats.org/officeDocument/2006/relationships/printerSettings" Target="../printerSettings/printerSettings241.bin"/><Relationship Id="rId6" Type="http://schemas.openxmlformats.org/officeDocument/2006/relationships/printerSettings" Target="../printerSettings/printerSettings246.bin"/><Relationship Id="rId15" Type="http://schemas.openxmlformats.org/officeDocument/2006/relationships/printerSettings" Target="../printerSettings/printerSettings255.bin"/><Relationship Id="rId23" Type="http://schemas.openxmlformats.org/officeDocument/2006/relationships/printerSettings" Target="../printerSettings/printerSettings263.bin"/><Relationship Id="rId28" Type="http://schemas.openxmlformats.org/officeDocument/2006/relationships/printerSettings" Target="../printerSettings/printerSettings268.bin"/><Relationship Id="rId36" Type="http://schemas.openxmlformats.org/officeDocument/2006/relationships/printerSettings" Target="../printerSettings/printerSettings276.bin"/><Relationship Id="rId49" Type="http://schemas.openxmlformats.org/officeDocument/2006/relationships/printerSettings" Target="../printerSettings/printerSettings289.bin"/><Relationship Id="rId57" Type="http://schemas.openxmlformats.org/officeDocument/2006/relationships/printerSettings" Target="../printerSettings/printerSettings297.bin"/><Relationship Id="rId10" Type="http://schemas.openxmlformats.org/officeDocument/2006/relationships/printerSettings" Target="../printerSettings/printerSettings250.bin"/><Relationship Id="rId31" Type="http://schemas.openxmlformats.org/officeDocument/2006/relationships/printerSettings" Target="../printerSettings/printerSettings271.bin"/><Relationship Id="rId44" Type="http://schemas.openxmlformats.org/officeDocument/2006/relationships/printerSettings" Target="../printerSettings/printerSettings284.bin"/><Relationship Id="rId52" Type="http://schemas.openxmlformats.org/officeDocument/2006/relationships/printerSettings" Target="../printerSettings/printerSettings292.bin"/><Relationship Id="rId60" Type="http://schemas.openxmlformats.org/officeDocument/2006/relationships/printerSettings" Target="../printerSettings/printerSettings300.bin"/><Relationship Id="rId65" Type="http://schemas.openxmlformats.org/officeDocument/2006/relationships/printerSettings" Target="../printerSettings/printerSettings305.bin"/><Relationship Id="rId73" Type="http://schemas.openxmlformats.org/officeDocument/2006/relationships/printerSettings" Target="../printerSettings/printerSettings313.bin"/><Relationship Id="rId4" Type="http://schemas.openxmlformats.org/officeDocument/2006/relationships/printerSettings" Target="../printerSettings/printerSettings244.bin"/><Relationship Id="rId9" Type="http://schemas.openxmlformats.org/officeDocument/2006/relationships/printerSettings" Target="../printerSettings/printerSettings249.bin"/><Relationship Id="rId13" Type="http://schemas.openxmlformats.org/officeDocument/2006/relationships/printerSettings" Target="../printerSettings/printerSettings253.bin"/><Relationship Id="rId18" Type="http://schemas.openxmlformats.org/officeDocument/2006/relationships/printerSettings" Target="../printerSettings/printerSettings258.bin"/><Relationship Id="rId39" Type="http://schemas.openxmlformats.org/officeDocument/2006/relationships/printerSettings" Target="../printerSettings/printerSettings279.bin"/><Relationship Id="rId34" Type="http://schemas.openxmlformats.org/officeDocument/2006/relationships/printerSettings" Target="../printerSettings/printerSettings274.bin"/><Relationship Id="rId50" Type="http://schemas.openxmlformats.org/officeDocument/2006/relationships/printerSettings" Target="../printerSettings/printerSettings290.bin"/><Relationship Id="rId55" Type="http://schemas.openxmlformats.org/officeDocument/2006/relationships/printerSettings" Target="../printerSettings/printerSettings295.bin"/><Relationship Id="rId76" Type="http://schemas.openxmlformats.org/officeDocument/2006/relationships/printerSettings" Target="../printerSettings/printerSettings316.bin"/><Relationship Id="rId7" Type="http://schemas.openxmlformats.org/officeDocument/2006/relationships/printerSettings" Target="../printerSettings/printerSettings247.bin"/><Relationship Id="rId71" Type="http://schemas.openxmlformats.org/officeDocument/2006/relationships/printerSettings" Target="../printerSettings/printerSettings3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4:L118"/>
  <sheetViews>
    <sheetView showGridLines="0" tabSelected="1" zoomScale="120" zoomScaleNormal="110" workbookViewId="0">
      <selection activeCell="I113" sqref="I113"/>
    </sheetView>
  </sheetViews>
  <sheetFormatPr defaultColWidth="9.109375" defaultRowHeight="18" x14ac:dyDescent="0.35"/>
  <cols>
    <col min="1" max="1" width="8.6640625" style="7" customWidth="1"/>
    <col min="2" max="2" width="17.109375" style="7" bestFit="1" customWidth="1"/>
    <col min="3" max="3" width="8.33203125" style="7" bestFit="1" customWidth="1"/>
    <col min="4" max="4" width="13.88671875" style="7" bestFit="1" customWidth="1"/>
    <col min="5" max="5" width="19.6640625" style="7" bestFit="1" customWidth="1"/>
    <col min="6" max="6" width="9.109375" style="7"/>
    <col min="7" max="7" width="20.33203125" style="7" customWidth="1"/>
    <col min="8" max="8" width="15.33203125" style="7" customWidth="1"/>
    <col min="9" max="9" width="27.109375" style="7" bestFit="1" customWidth="1"/>
    <col min="10" max="16384" width="9.109375" style="7"/>
  </cols>
  <sheetData>
    <row r="4" spans="2:12" x14ac:dyDescent="0.35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5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5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5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5">
      <c r="B8" s="8" t="s">
        <v>31</v>
      </c>
      <c r="C8" s="8">
        <v>6.35</v>
      </c>
      <c r="D8" s="8" t="s">
        <v>30</v>
      </c>
      <c r="E8" s="8" t="s">
        <v>43</v>
      </c>
      <c r="G8" s="15" t="s">
        <v>47</v>
      </c>
      <c r="H8" s="15"/>
      <c r="I8" s="14">
        <f>SUMIF(E4:E16,"mar",C4:C16)</f>
        <v>41.8</v>
      </c>
      <c r="L8" s="10">
        <f>SUMIF(E5:E16,"Mar",C5:C16)</f>
        <v>41.8</v>
      </c>
    </row>
    <row r="9" spans="2:12" x14ac:dyDescent="0.35">
      <c r="B9" s="8" t="s">
        <v>29</v>
      </c>
      <c r="C9" s="8">
        <v>2.5</v>
      </c>
      <c r="D9" s="8" t="s">
        <v>28</v>
      </c>
      <c r="E9" s="8" t="s">
        <v>44</v>
      </c>
      <c r="G9" s="15"/>
      <c r="H9" s="15"/>
      <c r="I9" s="14"/>
    </row>
    <row r="10" spans="2:12" x14ac:dyDescent="0.35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5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5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5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5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5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5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5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5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5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5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5">
      <c r="B24" s="8" t="s">
        <v>31</v>
      </c>
      <c r="C24" s="8">
        <v>6.35</v>
      </c>
      <c r="D24" s="8" t="s">
        <v>30</v>
      </c>
      <c r="E24" s="8" t="s">
        <v>43</v>
      </c>
      <c r="G24" s="15" t="s">
        <v>46</v>
      </c>
      <c r="H24" s="15"/>
      <c r="I24" s="14">
        <f>SUMIF(D20:D32,"amazon",C20:C32)</f>
        <v>29.450000000000003</v>
      </c>
      <c r="L24" s="10">
        <f>SUMIF(D21:D32,"Amazon",C21:C32)</f>
        <v>29.450000000000003</v>
      </c>
    </row>
    <row r="25" spans="2:12" x14ac:dyDescent="0.35">
      <c r="B25" s="8" t="s">
        <v>29</v>
      </c>
      <c r="C25" s="8">
        <v>2.5</v>
      </c>
      <c r="D25" s="8" t="s">
        <v>28</v>
      </c>
      <c r="E25" s="8" t="s">
        <v>44</v>
      </c>
      <c r="G25" s="15"/>
      <c r="H25" s="15"/>
      <c r="I25" s="14"/>
    </row>
    <row r="26" spans="2:12" x14ac:dyDescent="0.35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5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5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5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5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5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5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5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5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5">
      <c r="B38" s="8" t="s">
        <v>35</v>
      </c>
      <c r="C38" s="8"/>
      <c r="D38" s="8" t="s">
        <v>34</v>
      </c>
      <c r="E38" s="8" t="s">
        <v>44</v>
      </c>
    </row>
    <row r="39" spans="2:12" x14ac:dyDescent="0.35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5">
      <c r="B40" s="8" t="s">
        <v>31</v>
      </c>
      <c r="C40" s="8">
        <v>6.35</v>
      </c>
      <c r="D40" s="8" t="s">
        <v>30</v>
      </c>
      <c r="E40" s="8" t="s">
        <v>43</v>
      </c>
      <c r="G40" s="15" t="s">
        <v>49</v>
      </c>
      <c r="H40" s="15"/>
      <c r="I40" s="14">
        <f>SUMIF(B36:B48,I39,C36:C48)</f>
        <v>26</v>
      </c>
      <c r="L40" s="10">
        <f>SUMIF(B37:B48,I39,C37:C48)</f>
        <v>26</v>
      </c>
    </row>
    <row r="41" spans="2:12" x14ac:dyDescent="0.35">
      <c r="B41" s="8" t="s">
        <v>29</v>
      </c>
      <c r="C41" s="8">
        <v>2.5</v>
      </c>
      <c r="D41" s="8" t="s">
        <v>28</v>
      </c>
      <c r="E41" s="8" t="s">
        <v>44</v>
      </c>
      <c r="G41" s="15"/>
      <c r="H41" s="15"/>
      <c r="I41" s="14"/>
    </row>
    <row r="42" spans="2:12" x14ac:dyDescent="0.35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5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5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5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5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5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5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5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5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5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5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5">
      <c r="B78" s="8" t="s">
        <v>31</v>
      </c>
      <c r="C78" s="8">
        <v>6.35</v>
      </c>
      <c r="D78" s="8" t="s">
        <v>30</v>
      </c>
      <c r="E78" s="8" t="s">
        <v>43</v>
      </c>
      <c r="G78" s="13" t="s">
        <v>52</v>
      </c>
      <c r="H78" s="13"/>
      <c r="I78" s="14">
        <f>SUMIF(B74:B86,"*Apple*",C74:C87)</f>
        <v>40.450000000000003</v>
      </c>
      <c r="L78" s="10">
        <f>SUMIF(B75:B86,"*apple*",C75:C86)</f>
        <v>40.450000000000003</v>
      </c>
    </row>
    <row r="79" spans="2:12" x14ac:dyDescent="0.35">
      <c r="B79" s="8" t="s">
        <v>29</v>
      </c>
      <c r="C79" s="8">
        <v>2.5</v>
      </c>
      <c r="D79" s="8" t="s">
        <v>28</v>
      </c>
      <c r="E79" s="8" t="s">
        <v>55</v>
      </c>
      <c r="G79" s="13"/>
      <c r="H79" s="13"/>
      <c r="I79" s="14"/>
    </row>
    <row r="80" spans="2:12" x14ac:dyDescent="0.35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5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5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5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5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5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5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5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5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5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5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5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5">
      <c r="B95" s="8" t="s">
        <v>29</v>
      </c>
      <c r="C95" s="8">
        <v>2.5</v>
      </c>
      <c r="D95" s="8" t="s">
        <v>28</v>
      </c>
      <c r="E95" s="8" t="s">
        <v>55</v>
      </c>
      <c r="G95" s="13" t="s">
        <v>57</v>
      </c>
      <c r="H95" s="13"/>
      <c r="I95" s="14">
        <f>SUMIF(D90:D102,"*O*",C90:C102)</f>
        <v>38.450000000000003</v>
      </c>
      <c r="L95" s="10">
        <f>SUMIF(D91:D102,"*O*",C91:C102)</f>
        <v>38.450000000000003</v>
      </c>
    </row>
    <row r="96" spans="2:12" x14ac:dyDescent="0.35">
      <c r="B96" s="8" t="s">
        <v>27</v>
      </c>
      <c r="C96" s="8">
        <v>6.5</v>
      </c>
      <c r="D96" s="8" t="s">
        <v>26</v>
      </c>
      <c r="E96" s="8" t="s">
        <v>45</v>
      </c>
      <c r="G96" s="13"/>
      <c r="H96" s="13"/>
      <c r="I96" s="14"/>
    </row>
    <row r="97" spans="2:12" x14ac:dyDescent="0.35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5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5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5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5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5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5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5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5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5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5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5">
      <c r="B111" s="8" t="s">
        <v>29</v>
      </c>
      <c r="C111" s="8">
        <v>2.5</v>
      </c>
      <c r="D111" s="8" t="s">
        <v>28</v>
      </c>
      <c r="E111" s="8" t="s">
        <v>55</v>
      </c>
      <c r="G111" s="13" t="s">
        <v>58</v>
      </c>
      <c r="H111" s="13"/>
      <c r="I111" s="14">
        <f>SUMIF(E106:E118,"*J*",C106:C118)</f>
        <v>54</v>
      </c>
      <c r="L111" s="10">
        <f>SUMIF(E107:E118,"J*",C107:C118)</f>
        <v>54</v>
      </c>
    </row>
    <row r="112" spans="2:12" x14ac:dyDescent="0.35">
      <c r="B112" s="8" t="s">
        <v>27</v>
      </c>
      <c r="C112" s="8">
        <v>6.5</v>
      </c>
      <c r="D112" s="8" t="s">
        <v>26</v>
      </c>
      <c r="E112" s="8" t="s">
        <v>45</v>
      </c>
      <c r="G112" s="13"/>
      <c r="H112" s="13"/>
      <c r="I112" s="14"/>
    </row>
    <row r="113" spans="2:5" x14ac:dyDescent="0.35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5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5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5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5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5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58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59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60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61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6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63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I8:I9"/>
    <mergeCell ref="G8:H9"/>
    <mergeCell ref="G24:H25"/>
    <mergeCell ref="I24:I25"/>
    <mergeCell ref="G40:H41"/>
    <mergeCell ref="I40:I41"/>
    <mergeCell ref="G111:H112"/>
    <mergeCell ref="I111:I112"/>
    <mergeCell ref="G95:H96"/>
    <mergeCell ref="I95:I96"/>
    <mergeCell ref="G78:H79"/>
    <mergeCell ref="I78:I79"/>
  </mergeCells>
  <conditionalFormatting sqref="I40">
    <cfRule type="expression" dxfId="18" priority="11">
      <formula>$I40=$L40</formula>
    </cfRule>
  </conditionalFormatting>
  <conditionalFormatting sqref="I24">
    <cfRule type="expression" dxfId="17" priority="10">
      <formula>$I24=$L24</formula>
    </cfRule>
  </conditionalFormatting>
  <conditionalFormatting sqref="I8">
    <cfRule type="expression" dxfId="16" priority="9">
      <formula>$I8=$L8</formula>
    </cfRule>
  </conditionalFormatting>
  <conditionalFormatting sqref="I78">
    <cfRule type="expression" dxfId="15" priority="8">
      <formula>$I78=$L78</formula>
    </cfRule>
  </conditionalFormatting>
  <conditionalFormatting sqref="I95">
    <cfRule type="expression" dxfId="14" priority="4">
      <formula>$I95=$L95</formula>
    </cfRule>
  </conditionalFormatting>
  <conditionalFormatting sqref="I111">
    <cfRule type="expression" dxfId="1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L118"/>
  <sheetViews>
    <sheetView showGridLines="0" zoomScale="120" zoomScaleNormal="110" workbookViewId="0">
      <selection activeCell="C122" sqref="C122"/>
    </sheetView>
  </sheetViews>
  <sheetFormatPr defaultColWidth="9.109375" defaultRowHeight="18" x14ac:dyDescent="0.35"/>
  <cols>
    <col min="1" max="1" width="8.6640625" style="7" customWidth="1"/>
    <col min="2" max="2" width="17.109375" style="7" bestFit="1" customWidth="1"/>
    <col min="3" max="3" width="8.33203125" style="7" bestFit="1" customWidth="1"/>
    <col min="4" max="4" width="13.88671875" style="7" bestFit="1" customWidth="1"/>
    <col min="5" max="5" width="19.6640625" style="7" bestFit="1" customWidth="1"/>
    <col min="6" max="6" width="9.109375" style="7"/>
    <col min="7" max="7" width="20.33203125" style="7" customWidth="1"/>
    <col min="8" max="8" width="15.33203125" style="7" customWidth="1"/>
    <col min="9" max="9" width="27.109375" style="7" bestFit="1" customWidth="1"/>
    <col min="10" max="16384" width="9.109375" style="7"/>
  </cols>
  <sheetData>
    <row r="4" spans="2:12" x14ac:dyDescent="0.35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5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5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5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5">
      <c r="B8" s="8" t="s">
        <v>31</v>
      </c>
      <c r="C8" s="8">
        <v>6.35</v>
      </c>
      <c r="D8" s="8" t="s">
        <v>30</v>
      </c>
      <c r="E8" s="8" t="s">
        <v>43</v>
      </c>
      <c r="G8" s="13" t="s">
        <v>59</v>
      </c>
      <c r="H8" s="13"/>
      <c r="I8" s="14">
        <f>AVERAGEIF(E4:E16,"mar",C4:C16)</f>
        <v>10.45</v>
      </c>
      <c r="L8" s="10">
        <f>AVERAGEIF(E5:E16,"Mar",C5:C16)</f>
        <v>10.45</v>
      </c>
    </row>
    <row r="9" spans="2:12" x14ac:dyDescent="0.35">
      <c r="B9" s="8" t="s">
        <v>29</v>
      </c>
      <c r="C9" s="8">
        <v>2.5</v>
      </c>
      <c r="D9" s="8" t="s">
        <v>28</v>
      </c>
      <c r="E9" s="8" t="s">
        <v>44</v>
      </c>
      <c r="G9" s="13"/>
      <c r="H9" s="13"/>
      <c r="I9" s="14"/>
    </row>
    <row r="10" spans="2:12" x14ac:dyDescent="0.35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5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5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5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5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5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5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5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5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5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5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5">
      <c r="B24" s="8" t="s">
        <v>31</v>
      </c>
      <c r="C24" s="8">
        <v>6.35</v>
      </c>
      <c r="D24" s="8" t="s">
        <v>30</v>
      </c>
      <c r="E24" s="8" t="s">
        <v>43</v>
      </c>
      <c r="G24" s="13" t="s">
        <v>60</v>
      </c>
      <c r="H24" s="13"/>
      <c r="I24" s="14">
        <f>AVERAGEIF(D20:D32,"amazon",C20:C32)</f>
        <v>9.8166666666666682</v>
      </c>
      <c r="L24" s="10">
        <f>AVERAGEIF(D21:D32,"Amazon",C21:C32)</f>
        <v>9.8166666666666682</v>
      </c>
    </row>
    <row r="25" spans="2:12" x14ac:dyDescent="0.35">
      <c r="B25" s="8" t="s">
        <v>29</v>
      </c>
      <c r="C25" s="8">
        <v>2.5</v>
      </c>
      <c r="D25" s="8" t="s">
        <v>28</v>
      </c>
      <c r="E25" s="8" t="s">
        <v>44</v>
      </c>
      <c r="G25" s="13"/>
      <c r="H25" s="13"/>
      <c r="I25" s="14"/>
    </row>
    <row r="26" spans="2:12" x14ac:dyDescent="0.35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5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5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5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5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5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5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5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5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5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5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5">
      <c r="B40" s="8" t="s">
        <v>31</v>
      </c>
      <c r="C40" s="8">
        <v>6.35</v>
      </c>
      <c r="D40" s="8" t="s">
        <v>30</v>
      </c>
      <c r="E40" s="8" t="s">
        <v>43</v>
      </c>
      <c r="G40" s="13" t="s">
        <v>61</v>
      </c>
      <c r="H40" s="13"/>
      <c r="I40" s="14">
        <f>AVERAGEIF(B36:B48,I39,C36:C48)</f>
        <v>13</v>
      </c>
      <c r="L40" s="10">
        <f>AVERAGEIF(B37:B48,I39,C37:C48)</f>
        <v>13</v>
      </c>
    </row>
    <row r="41" spans="2:12" x14ac:dyDescent="0.35">
      <c r="B41" s="8" t="s">
        <v>29</v>
      </c>
      <c r="C41" s="8">
        <v>2.5</v>
      </c>
      <c r="D41" s="8" t="s">
        <v>28</v>
      </c>
      <c r="E41" s="8" t="s">
        <v>44</v>
      </c>
      <c r="G41" s="13"/>
      <c r="H41" s="13"/>
      <c r="I41" s="14"/>
    </row>
    <row r="42" spans="2:12" x14ac:dyDescent="0.35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5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5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5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5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5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5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5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5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5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5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5">
      <c r="B78" s="8" t="s">
        <v>31</v>
      </c>
      <c r="C78" s="8">
        <v>6.35</v>
      </c>
      <c r="D78" s="8" t="s">
        <v>30</v>
      </c>
      <c r="E78" s="8" t="s">
        <v>43</v>
      </c>
      <c r="G78" s="13" t="s">
        <v>62</v>
      </c>
      <c r="H78" s="13"/>
      <c r="I78" s="14">
        <f ca="1">AVERAGEIF(B74:B86,"*Apple*",C74:C85)</f>
        <v>8.09</v>
      </c>
      <c r="L78" s="10">
        <f>AVERAGEIF(B75:B86,"*apple*",C75:C86)</f>
        <v>8.09</v>
      </c>
    </row>
    <row r="79" spans="2:12" x14ac:dyDescent="0.35">
      <c r="B79" s="8" t="s">
        <v>29</v>
      </c>
      <c r="C79" s="8">
        <v>2.5</v>
      </c>
      <c r="D79" s="8" t="s">
        <v>28</v>
      </c>
      <c r="E79" s="8" t="s">
        <v>55</v>
      </c>
      <c r="G79" s="13"/>
      <c r="H79" s="13"/>
      <c r="I79" s="14"/>
    </row>
    <row r="80" spans="2:12" x14ac:dyDescent="0.35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5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5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5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5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5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5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5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5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5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5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5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5">
      <c r="B95" s="8" t="s">
        <v>29</v>
      </c>
      <c r="C95" s="8">
        <v>2.5</v>
      </c>
      <c r="D95" s="8" t="s">
        <v>28</v>
      </c>
      <c r="E95" s="8" t="s">
        <v>55</v>
      </c>
      <c r="G95" s="13" t="s">
        <v>63</v>
      </c>
      <c r="H95" s="13"/>
      <c r="I95" s="14">
        <f>AVERAGEIF(D90:D102,"*O*",C90:C102)</f>
        <v>7.69</v>
      </c>
      <c r="L95" s="10">
        <f>AVERAGEIF(D91:D102,"*O*",C91:C102)</f>
        <v>7.69</v>
      </c>
    </row>
    <row r="96" spans="2:12" x14ac:dyDescent="0.35">
      <c r="B96" s="8" t="s">
        <v>27</v>
      </c>
      <c r="C96" s="8">
        <v>6.5</v>
      </c>
      <c r="D96" s="8" t="s">
        <v>26</v>
      </c>
      <c r="E96" s="8" t="s">
        <v>45</v>
      </c>
      <c r="G96" s="13"/>
      <c r="H96" s="13"/>
      <c r="I96" s="14"/>
    </row>
    <row r="97" spans="2:12" x14ac:dyDescent="0.35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5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5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5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5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5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5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5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5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5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5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5">
      <c r="B111" s="8" t="s">
        <v>29</v>
      </c>
      <c r="C111" s="8">
        <v>2.5</v>
      </c>
      <c r="D111" s="8" t="s">
        <v>28</v>
      </c>
      <c r="E111" s="8" t="s">
        <v>55</v>
      </c>
      <c r="G111" s="13" t="s">
        <v>64</v>
      </c>
      <c r="H111" s="13"/>
      <c r="I111" s="14">
        <f>AVERAGEIF(E106:E118,"*J*",C106:C118)</f>
        <v>9</v>
      </c>
      <c r="L111" s="10">
        <f>AVERAGEIF(E107:E118,"J*",C107:C118)</f>
        <v>9</v>
      </c>
    </row>
    <row r="112" spans="2:12" x14ac:dyDescent="0.35">
      <c r="B112" s="8" t="s">
        <v>27</v>
      </c>
      <c r="C112" s="8">
        <v>6.5</v>
      </c>
      <c r="D112" s="8" t="s">
        <v>26</v>
      </c>
      <c r="E112" s="8" t="s">
        <v>45</v>
      </c>
      <c r="G112" s="13"/>
      <c r="H112" s="13"/>
      <c r="I112" s="14"/>
    </row>
    <row r="113" spans="2:5" x14ac:dyDescent="0.35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5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5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5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5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5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58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5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60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61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62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63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8:H9"/>
    <mergeCell ref="I8:I9"/>
    <mergeCell ref="G24:H25"/>
    <mergeCell ref="I24:I25"/>
    <mergeCell ref="G40:H41"/>
    <mergeCell ref="I40:I41"/>
    <mergeCell ref="G78:H79"/>
    <mergeCell ref="I78:I79"/>
    <mergeCell ref="G95:H96"/>
    <mergeCell ref="I95:I96"/>
    <mergeCell ref="G111:H112"/>
    <mergeCell ref="I111:I112"/>
  </mergeCells>
  <conditionalFormatting sqref="I40">
    <cfRule type="expression" dxfId="12" priority="6">
      <formula>$I40=$L40</formula>
    </cfRule>
  </conditionalFormatting>
  <conditionalFormatting sqref="I24">
    <cfRule type="expression" dxfId="11" priority="5">
      <formula>$I24=$L24</formula>
    </cfRule>
  </conditionalFormatting>
  <conditionalFormatting sqref="I8">
    <cfRule type="expression" dxfId="10" priority="4">
      <formula>$I8=$L8</formula>
    </cfRule>
  </conditionalFormatting>
  <conditionalFormatting sqref="I78">
    <cfRule type="expression" dxfId="9" priority="3">
      <formula>$I78=$L78</formula>
    </cfRule>
  </conditionalFormatting>
  <conditionalFormatting sqref="I95">
    <cfRule type="expression" dxfId="8" priority="2">
      <formula>$I95=$L95</formula>
    </cfRule>
  </conditionalFormatting>
  <conditionalFormatting sqref="I111">
    <cfRule type="expression" dxfId="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14F7-6270-4AE4-94ED-E836825A74F3}">
  <sheetPr codeName="Sheet7">
    <pageSetUpPr autoPageBreaks="0"/>
  </sheetPr>
  <dimension ref="B4:M118"/>
  <sheetViews>
    <sheetView showGridLines="0" zoomScale="120" zoomScaleNormal="120" workbookViewId="0">
      <selection activeCell="J113" sqref="J113"/>
    </sheetView>
  </sheetViews>
  <sheetFormatPr defaultColWidth="9.109375" defaultRowHeight="18" x14ac:dyDescent="0.35"/>
  <cols>
    <col min="1" max="1" width="8.6640625" style="7" customWidth="1"/>
    <col min="2" max="2" width="17.109375" style="7" bestFit="1" customWidth="1"/>
    <col min="3" max="3" width="8.33203125" style="7" bestFit="1" customWidth="1"/>
    <col min="4" max="4" width="13.88671875" style="7" bestFit="1" customWidth="1"/>
    <col min="5" max="5" width="19.6640625" style="7" bestFit="1" customWidth="1"/>
    <col min="6" max="6" width="9.109375" style="7"/>
    <col min="7" max="7" width="4.88671875" style="7" customWidth="1"/>
    <col min="8" max="8" width="20.33203125" style="7" customWidth="1"/>
    <col min="9" max="9" width="15.33203125" style="7" customWidth="1"/>
    <col min="10" max="10" width="27.109375" style="7" bestFit="1" customWidth="1"/>
    <col min="11" max="16384" width="9.109375" style="7"/>
  </cols>
  <sheetData>
    <row r="4" spans="2:13" x14ac:dyDescent="0.35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5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5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5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5">
      <c r="B8" s="8" t="s">
        <v>31</v>
      </c>
      <c r="C8" s="8">
        <v>6.35</v>
      </c>
      <c r="D8" s="8" t="s">
        <v>30</v>
      </c>
      <c r="E8" s="8" t="s">
        <v>43</v>
      </c>
      <c r="H8" s="13" t="s">
        <v>65</v>
      </c>
      <c r="I8" s="13"/>
      <c r="J8" s="14">
        <f>COUNTIF(E4:E16,"mar")</f>
        <v>4</v>
      </c>
      <c r="M8" s="10">
        <f>COUNTIF(E5:E16,"Mar")</f>
        <v>4</v>
      </c>
    </row>
    <row r="9" spans="2:13" x14ac:dyDescent="0.35">
      <c r="B9" s="8" t="s">
        <v>29</v>
      </c>
      <c r="C9" s="8">
        <v>2.5</v>
      </c>
      <c r="D9" s="8" t="s">
        <v>28</v>
      </c>
      <c r="E9" s="8" t="s">
        <v>44</v>
      </c>
      <c r="H9" s="13"/>
      <c r="I9" s="13"/>
      <c r="J9" s="14"/>
    </row>
    <row r="10" spans="2:13" x14ac:dyDescent="0.35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5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5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5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5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5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5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5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5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5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5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5">
      <c r="B24" s="8" t="s">
        <v>31</v>
      </c>
      <c r="C24" s="8">
        <v>6.35</v>
      </c>
      <c r="D24" s="8" t="s">
        <v>30</v>
      </c>
      <c r="E24" s="8" t="s">
        <v>43</v>
      </c>
      <c r="H24" s="13" t="s">
        <v>66</v>
      </c>
      <c r="I24" s="13"/>
      <c r="J24" s="14">
        <f>COUNTIF(D20:D32,"amazon")</f>
        <v>3</v>
      </c>
      <c r="M24" s="10">
        <f>COUNTIF(D21:D32,"Amazon")</f>
        <v>3</v>
      </c>
    </row>
    <row r="25" spans="2:13" x14ac:dyDescent="0.35">
      <c r="B25" s="8" t="s">
        <v>29</v>
      </c>
      <c r="C25" s="8">
        <v>2.5</v>
      </c>
      <c r="D25" s="8" t="s">
        <v>28</v>
      </c>
      <c r="E25" s="8" t="s">
        <v>44</v>
      </c>
      <c r="H25" s="13"/>
      <c r="I25" s="13"/>
      <c r="J25" s="14"/>
    </row>
    <row r="26" spans="2:13" x14ac:dyDescent="0.35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5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5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5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5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5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5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5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5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5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5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5">
      <c r="B40" s="8" t="s">
        <v>31</v>
      </c>
      <c r="C40" s="8">
        <v>6.35</v>
      </c>
      <c r="D40" s="8" t="s">
        <v>30</v>
      </c>
      <c r="E40" s="8" t="s">
        <v>43</v>
      </c>
      <c r="H40" s="13" t="s">
        <v>67</v>
      </c>
      <c r="I40" s="13"/>
      <c r="J40" s="14">
        <f>COUNTIF(B36:B48,J39)</f>
        <v>2</v>
      </c>
      <c r="M40" s="10">
        <f>COUNTIF(B37:B48,J39)</f>
        <v>2</v>
      </c>
    </row>
    <row r="41" spans="2:13" x14ac:dyDescent="0.35">
      <c r="B41" s="8" t="s">
        <v>29</v>
      </c>
      <c r="C41" s="8">
        <v>2.5</v>
      </c>
      <c r="D41" s="8" t="s">
        <v>28</v>
      </c>
      <c r="E41" s="8" t="s">
        <v>44</v>
      </c>
      <c r="H41" s="13"/>
      <c r="I41" s="13"/>
      <c r="J41" s="14"/>
    </row>
    <row r="42" spans="2:13" x14ac:dyDescent="0.35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5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5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5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5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5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5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5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5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5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5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5">
      <c r="B78" s="8" t="s">
        <v>31</v>
      </c>
      <c r="C78" s="8">
        <v>6.35</v>
      </c>
      <c r="D78" s="8" t="s">
        <v>30</v>
      </c>
      <c r="E78" s="8" t="s">
        <v>43</v>
      </c>
      <c r="H78" s="16" t="s">
        <v>68</v>
      </c>
      <c r="I78" s="16"/>
      <c r="J78" s="14">
        <f>COUNTIF(B74:B86,"*Apple*")</f>
        <v>5</v>
      </c>
      <c r="M78" s="10">
        <f>COUNTIF(B75:B86,"*apple*")</f>
        <v>5</v>
      </c>
    </row>
    <row r="79" spans="2:13" x14ac:dyDescent="0.35">
      <c r="B79" s="8" t="s">
        <v>29</v>
      </c>
      <c r="C79" s="8">
        <v>2.5</v>
      </c>
      <c r="D79" s="8" t="s">
        <v>28</v>
      </c>
      <c r="E79" s="8" t="s">
        <v>55</v>
      </c>
      <c r="H79" s="16"/>
      <c r="I79" s="16"/>
      <c r="J79" s="14"/>
    </row>
    <row r="80" spans="2:13" x14ac:dyDescent="0.35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5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5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5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5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5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5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5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5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5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5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5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5">
      <c r="B95" s="8" t="s">
        <v>29</v>
      </c>
      <c r="C95" s="8">
        <v>2.5</v>
      </c>
      <c r="D95" s="8" t="s">
        <v>28</v>
      </c>
      <c r="E95" s="8" t="s">
        <v>55</v>
      </c>
      <c r="H95" s="13" t="s">
        <v>69</v>
      </c>
      <c r="I95" s="13"/>
      <c r="J95" s="14">
        <v>5</v>
      </c>
      <c r="M95" s="10">
        <f>COUNTIF(D91:D102,"*O*")</f>
        <v>5</v>
      </c>
    </row>
    <row r="96" spans="2:13" x14ac:dyDescent="0.35">
      <c r="B96" s="8" t="s">
        <v>27</v>
      </c>
      <c r="C96" s="8">
        <v>6.5</v>
      </c>
      <c r="D96" s="8" t="s">
        <v>26</v>
      </c>
      <c r="E96" s="8" t="s">
        <v>45</v>
      </c>
      <c r="H96" s="13"/>
      <c r="I96" s="13"/>
      <c r="J96" s="14"/>
    </row>
    <row r="97" spans="2:13" x14ac:dyDescent="0.35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5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5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5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5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5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5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5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5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5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5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5">
      <c r="B111" s="8" t="s">
        <v>29</v>
      </c>
      <c r="C111" s="8">
        <v>2.5</v>
      </c>
      <c r="D111" s="8" t="s">
        <v>28</v>
      </c>
      <c r="E111" s="8" t="s">
        <v>55</v>
      </c>
      <c r="H111" s="13" t="s">
        <v>70</v>
      </c>
      <c r="I111" s="13"/>
      <c r="J111" s="14">
        <f>COUNTIF(E106:E118,"*J*")</f>
        <v>6</v>
      </c>
      <c r="M111" s="10">
        <f>COUNTIF(E107:E118,"J*")</f>
        <v>6</v>
      </c>
    </row>
    <row r="112" spans="2:13" x14ac:dyDescent="0.35">
      <c r="B112" s="8" t="s">
        <v>27</v>
      </c>
      <c r="C112" s="8">
        <v>6.5</v>
      </c>
      <c r="D112" s="8" t="s">
        <v>26</v>
      </c>
      <c r="E112" s="8" t="s">
        <v>45</v>
      </c>
      <c r="H112" s="13"/>
      <c r="I112" s="13"/>
      <c r="J112" s="14"/>
    </row>
    <row r="113" spans="2:5" x14ac:dyDescent="0.35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5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5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5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5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5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23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2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57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58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5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60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61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62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63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65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66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67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68"/>
    </customSheetView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69"/>
    </customSheetView>
  </customSheetViews>
  <mergeCells count="12">
    <mergeCell ref="H8:I9"/>
    <mergeCell ref="J8:J9"/>
    <mergeCell ref="H24:I25"/>
    <mergeCell ref="J24:J25"/>
    <mergeCell ref="H40:I41"/>
    <mergeCell ref="J40:J41"/>
    <mergeCell ref="H78:I79"/>
    <mergeCell ref="J78:J79"/>
    <mergeCell ref="H95:I96"/>
    <mergeCell ref="J95:J96"/>
    <mergeCell ref="H111:I112"/>
    <mergeCell ref="J111:J112"/>
  </mergeCells>
  <conditionalFormatting sqref="J40">
    <cfRule type="expression" dxfId="6" priority="6">
      <formula>$J40=$M40</formula>
    </cfRule>
  </conditionalFormatting>
  <conditionalFormatting sqref="J24">
    <cfRule type="expression" dxfId="5" priority="5">
      <formula>$J24=$M24</formula>
    </cfRule>
  </conditionalFormatting>
  <conditionalFormatting sqref="J8">
    <cfRule type="expression" dxfId="4" priority="4">
      <formula>$J8=$M8</formula>
    </cfRule>
  </conditionalFormatting>
  <conditionalFormatting sqref="J78">
    <cfRule type="expression" dxfId="3" priority="3">
      <formula>$J78=$M78</formula>
    </cfRule>
  </conditionalFormatting>
  <conditionalFormatting sqref="J95">
    <cfRule type="expression" dxfId="2" priority="2">
      <formula>$J95=$M95</formula>
    </cfRule>
  </conditionalFormatting>
  <conditionalFormatting sqref="J111">
    <cfRule type="expression" dxfId="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3C5F-D796-443A-9AB2-82FCC2F879D3}">
  <sheetPr codeName="Sheet20"/>
  <dimension ref="C4:M43"/>
  <sheetViews>
    <sheetView showGridLines="0" zoomScaleNormal="100" workbookViewId="0">
      <selection activeCell="F35" sqref="F35:F43"/>
    </sheetView>
  </sheetViews>
  <sheetFormatPr defaultRowHeight="14.4" x14ac:dyDescent="0.3"/>
  <cols>
    <col min="2" max="2" width="5.109375" customWidth="1"/>
    <col min="3" max="3" width="13.5546875" bestFit="1" customWidth="1"/>
    <col min="4" max="4" width="12.44140625" bestFit="1" customWidth="1"/>
    <col min="5" max="5" width="14.33203125" bestFit="1" customWidth="1"/>
    <col min="6" max="6" width="28.109375" bestFit="1" customWidth="1"/>
    <col min="7" max="7" width="23.109375" customWidth="1"/>
    <col min="8" max="8" width="7" customWidth="1"/>
    <col min="10" max="10" width="7.44140625" customWidth="1"/>
    <col min="11" max="11" width="7.109375" customWidth="1"/>
    <col min="12" max="12" width="7.88671875" customWidth="1"/>
    <col min="13" max="13" width="8" customWidth="1"/>
  </cols>
  <sheetData>
    <row r="4" spans="3:13" ht="18" x14ac:dyDescent="0.35">
      <c r="C4" s="9" t="s">
        <v>79</v>
      </c>
      <c r="D4" s="9" t="s">
        <v>78</v>
      </c>
      <c r="E4" s="9" t="s">
        <v>76</v>
      </c>
      <c r="F4" s="9" t="s">
        <v>77</v>
      </c>
    </row>
    <row r="5" spans="3:13" ht="18" x14ac:dyDescent="0.3">
      <c r="C5" s="8" t="s">
        <v>71</v>
      </c>
      <c r="D5" s="8" t="s">
        <v>73</v>
      </c>
      <c r="E5" s="8">
        <v>787.8569</v>
      </c>
      <c r="F5" s="22">
        <f>CEILING(E5, 0.01)</f>
        <v>787.86</v>
      </c>
    </row>
    <row r="6" spans="3:13" ht="18" x14ac:dyDescent="0.3">
      <c r="C6" s="8" t="s">
        <v>72</v>
      </c>
      <c r="D6" s="8" t="s">
        <v>73</v>
      </c>
      <c r="E6" s="8">
        <v>457.23439999999999</v>
      </c>
      <c r="F6" s="22">
        <f t="shared" ref="F6:F13" si="0">CEILING(E6, 0.01)</f>
        <v>457.24</v>
      </c>
    </row>
    <row r="7" spans="3:13" ht="18.75" customHeight="1" x14ac:dyDescent="0.3">
      <c r="C7" s="8" t="s">
        <v>71</v>
      </c>
      <c r="D7" s="8" t="s">
        <v>74</v>
      </c>
      <c r="E7" s="8">
        <v>411.34449999999998</v>
      </c>
      <c r="F7" s="22">
        <f t="shared" si="0"/>
        <v>411.35</v>
      </c>
      <c r="I7" s="17" t="s">
        <v>83</v>
      </c>
      <c r="J7" s="17"/>
      <c r="K7" s="17"/>
      <c r="L7" s="17"/>
      <c r="M7" s="17"/>
    </row>
    <row r="8" spans="3:13" ht="18" x14ac:dyDescent="0.3">
      <c r="C8" s="8" t="s">
        <v>72</v>
      </c>
      <c r="D8" s="8" t="s">
        <v>74</v>
      </c>
      <c r="E8" s="8">
        <v>506.12200000000001</v>
      </c>
      <c r="F8" s="22">
        <f t="shared" si="0"/>
        <v>506.13</v>
      </c>
      <c r="I8" s="17"/>
      <c r="J8" s="17"/>
      <c r="K8" s="17"/>
      <c r="L8" s="17"/>
      <c r="M8" s="17"/>
    </row>
    <row r="9" spans="3:13" ht="18" x14ac:dyDescent="0.3">
      <c r="C9" s="8" t="s">
        <v>71</v>
      </c>
      <c r="D9" s="8" t="s">
        <v>75</v>
      </c>
      <c r="E9" s="8">
        <v>370.33210000000003</v>
      </c>
      <c r="F9" s="22">
        <f t="shared" si="0"/>
        <v>370.34000000000003</v>
      </c>
      <c r="I9" s="17"/>
      <c r="J9" s="17"/>
      <c r="K9" s="17"/>
      <c r="L9" s="17"/>
      <c r="M9" s="17"/>
    </row>
    <row r="10" spans="3:13" ht="18" x14ac:dyDescent="0.3">
      <c r="C10" s="8" t="s">
        <v>72</v>
      </c>
      <c r="D10" s="8" t="s">
        <v>75</v>
      </c>
      <c r="E10" s="8">
        <v>713.89890000000003</v>
      </c>
      <c r="F10" s="22">
        <f t="shared" si="0"/>
        <v>713.9</v>
      </c>
    </row>
    <row r="11" spans="3:13" ht="18" x14ac:dyDescent="0.3">
      <c r="C11" s="8" t="s">
        <v>71</v>
      </c>
      <c r="D11" s="8" t="s">
        <v>73</v>
      </c>
      <c r="E11" s="8">
        <v>346.45760000000001</v>
      </c>
      <c r="F11" s="22">
        <f t="shared" si="0"/>
        <v>346.46</v>
      </c>
    </row>
    <row r="12" spans="3:13" ht="18" x14ac:dyDescent="0.3">
      <c r="C12" s="8" t="s">
        <v>72</v>
      </c>
      <c r="D12" s="8" t="s">
        <v>74</v>
      </c>
      <c r="E12" s="8">
        <v>691.64986999999996</v>
      </c>
      <c r="F12" s="22">
        <f t="shared" si="0"/>
        <v>691.65</v>
      </c>
    </row>
    <row r="13" spans="3:13" ht="18" x14ac:dyDescent="0.3">
      <c r="C13" s="8" t="s">
        <v>72</v>
      </c>
      <c r="D13" s="8" t="s">
        <v>75</v>
      </c>
      <c r="E13" s="8">
        <v>461.55466899999999</v>
      </c>
      <c r="F13" s="22">
        <f t="shared" si="0"/>
        <v>461.56</v>
      </c>
    </row>
    <row r="15" spans="3:13" ht="18" x14ac:dyDescent="0.3">
      <c r="E15" s="12"/>
    </row>
    <row r="19" spans="3:13" ht="18" x14ac:dyDescent="0.35">
      <c r="C19" s="9" t="s">
        <v>79</v>
      </c>
      <c r="D19" s="9" t="s">
        <v>78</v>
      </c>
      <c r="E19" s="9" t="s">
        <v>76</v>
      </c>
      <c r="F19" s="9" t="s">
        <v>86</v>
      </c>
      <c r="G19" s="9" t="s">
        <v>87</v>
      </c>
    </row>
    <row r="20" spans="3:13" ht="18" x14ac:dyDescent="0.3">
      <c r="C20" s="8" t="s">
        <v>71</v>
      </c>
      <c r="D20" s="8" t="s">
        <v>73</v>
      </c>
      <c r="E20" s="8">
        <v>787.8569</v>
      </c>
      <c r="F20" s="21">
        <f>FLOOR(E20, 0.1)</f>
        <v>787.80000000000007</v>
      </c>
      <c r="G20" s="21">
        <f>CEILING(E20, 0.1)</f>
        <v>787.90000000000009</v>
      </c>
      <c r="H20" s="12"/>
    </row>
    <row r="21" spans="3:13" ht="18" x14ac:dyDescent="0.3">
      <c r="C21" s="8" t="s">
        <v>72</v>
      </c>
      <c r="D21" s="8" t="s">
        <v>73</v>
      </c>
      <c r="E21" s="8">
        <v>457.23439999999999</v>
      </c>
      <c r="F21" s="21">
        <f t="shared" ref="F21:F28" si="1">FLOOR(E21, 0.1)</f>
        <v>457.20000000000005</v>
      </c>
      <c r="G21" s="21">
        <f t="shared" ref="G21:G28" si="2">CEILING(E21, 0.1)</f>
        <v>457.3</v>
      </c>
      <c r="H21" s="12"/>
    </row>
    <row r="22" spans="3:13" ht="18.75" customHeight="1" x14ac:dyDescent="0.3">
      <c r="C22" s="8" t="s">
        <v>71</v>
      </c>
      <c r="D22" s="8" t="s">
        <v>74</v>
      </c>
      <c r="E22" s="8">
        <v>411.34449999999998</v>
      </c>
      <c r="F22" s="21">
        <f t="shared" si="1"/>
        <v>411.3</v>
      </c>
      <c r="G22" s="21">
        <f t="shared" si="2"/>
        <v>411.40000000000003</v>
      </c>
      <c r="H22" s="12"/>
      <c r="I22" s="17" t="s">
        <v>88</v>
      </c>
      <c r="J22" s="17"/>
      <c r="K22" s="17"/>
      <c r="L22" s="17"/>
      <c r="M22" s="17"/>
    </row>
    <row r="23" spans="3:13" ht="18" x14ac:dyDescent="0.3">
      <c r="C23" s="8" t="s">
        <v>72</v>
      </c>
      <c r="D23" s="8" t="s">
        <v>74</v>
      </c>
      <c r="E23" s="8">
        <v>506.12200000000001</v>
      </c>
      <c r="F23" s="21">
        <f t="shared" si="1"/>
        <v>506.1</v>
      </c>
      <c r="G23" s="21">
        <f t="shared" si="2"/>
        <v>506.20000000000005</v>
      </c>
      <c r="H23" s="12"/>
      <c r="I23" s="17"/>
      <c r="J23" s="17"/>
      <c r="K23" s="17"/>
      <c r="L23" s="17"/>
      <c r="M23" s="17"/>
    </row>
    <row r="24" spans="3:13" ht="18" x14ac:dyDescent="0.3">
      <c r="C24" s="8" t="s">
        <v>71</v>
      </c>
      <c r="D24" s="8" t="s">
        <v>75</v>
      </c>
      <c r="E24" s="8">
        <v>370.33210000000003</v>
      </c>
      <c r="F24" s="21">
        <f t="shared" si="1"/>
        <v>370.3</v>
      </c>
      <c r="G24" s="21">
        <f t="shared" si="2"/>
        <v>370.40000000000003</v>
      </c>
      <c r="H24" s="12"/>
      <c r="I24" s="17"/>
      <c r="J24" s="17"/>
      <c r="K24" s="17"/>
      <c r="L24" s="17"/>
      <c r="M24" s="17"/>
    </row>
    <row r="25" spans="3:13" ht="18" x14ac:dyDescent="0.3">
      <c r="C25" s="8" t="s">
        <v>72</v>
      </c>
      <c r="D25" s="8" t="s">
        <v>75</v>
      </c>
      <c r="E25" s="8">
        <v>713.89890000000003</v>
      </c>
      <c r="F25" s="21">
        <f t="shared" si="1"/>
        <v>713.80000000000007</v>
      </c>
      <c r="G25" s="21">
        <f t="shared" si="2"/>
        <v>713.90000000000009</v>
      </c>
      <c r="H25" s="12"/>
    </row>
    <row r="26" spans="3:13" ht="18" x14ac:dyDescent="0.3">
      <c r="C26" s="8" t="s">
        <v>71</v>
      </c>
      <c r="D26" s="8" t="s">
        <v>73</v>
      </c>
      <c r="E26" s="8">
        <v>346.45760000000001</v>
      </c>
      <c r="F26" s="21">
        <f t="shared" si="1"/>
        <v>346.40000000000003</v>
      </c>
      <c r="G26" s="21">
        <f t="shared" si="2"/>
        <v>346.5</v>
      </c>
      <c r="H26" s="12"/>
    </row>
    <row r="27" spans="3:13" ht="18" x14ac:dyDescent="0.3">
      <c r="C27" s="8" t="s">
        <v>72</v>
      </c>
      <c r="D27" s="8" t="s">
        <v>74</v>
      </c>
      <c r="E27" s="8">
        <v>691.64986999999996</v>
      </c>
      <c r="F27" s="21">
        <f t="shared" si="1"/>
        <v>691.6</v>
      </c>
      <c r="G27" s="21">
        <f t="shared" si="2"/>
        <v>691.7</v>
      </c>
      <c r="H27" s="12"/>
    </row>
    <row r="28" spans="3:13" ht="18" x14ac:dyDescent="0.3">
      <c r="C28" s="8" t="s">
        <v>72</v>
      </c>
      <c r="D28" s="8" t="s">
        <v>75</v>
      </c>
      <c r="E28" s="8">
        <v>461.55466899999999</v>
      </c>
      <c r="F28" s="21">
        <f t="shared" si="1"/>
        <v>461.5</v>
      </c>
      <c r="G28" s="21">
        <f t="shared" si="2"/>
        <v>461.6</v>
      </c>
      <c r="H28" s="12"/>
    </row>
    <row r="34" spans="3:13" ht="18" x14ac:dyDescent="0.35">
      <c r="C34" s="9" t="s">
        <v>79</v>
      </c>
      <c r="D34" s="9" t="s">
        <v>78</v>
      </c>
      <c r="E34" s="9" t="s">
        <v>76</v>
      </c>
      <c r="F34" s="9" t="s">
        <v>85</v>
      </c>
    </row>
    <row r="35" spans="3:13" ht="18" x14ac:dyDescent="0.3">
      <c r="C35" s="8" t="s">
        <v>71</v>
      </c>
      <c r="D35" s="8" t="s">
        <v>73</v>
      </c>
      <c r="E35" s="8">
        <v>787.8569</v>
      </c>
      <c r="F35" s="22">
        <f>CEILING(E35,50)</f>
        <v>800</v>
      </c>
    </row>
    <row r="36" spans="3:13" ht="18" x14ac:dyDescent="0.3">
      <c r="C36" s="8" t="s">
        <v>72</v>
      </c>
      <c r="D36" s="8" t="s">
        <v>73</v>
      </c>
      <c r="E36" s="8">
        <v>457.23439999999999</v>
      </c>
      <c r="F36" s="22">
        <f t="shared" ref="F36:F43" si="3">CEILING(E36,50)</f>
        <v>500</v>
      </c>
    </row>
    <row r="37" spans="3:13" ht="18" x14ac:dyDescent="0.3">
      <c r="C37" s="8" t="s">
        <v>71</v>
      </c>
      <c r="D37" s="8" t="s">
        <v>74</v>
      </c>
      <c r="E37" s="8">
        <v>411.34449999999998</v>
      </c>
      <c r="F37" s="22">
        <f t="shared" si="3"/>
        <v>450</v>
      </c>
      <c r="I37" s="17" t="s">
        <v>84</v>
      </c>
      <c r="J37" s="17"/>
      <c r="K37" s="17"/>
      <c r="L37" s="17"/>
      <c r="M37" s="17"/>
    </row>
    <row r="38" spans="3:13" ht="18" x14ac:dyDescent="0.3">
      <c r="C38" s="8" t="s">
        <v>72</v>
      </c>
      <c r="D38" s="8" t="s">
        <v>74</v>
      </c>
      <c r="E38" s="8">
        <v>506.12200000000001</v>
      </c>
      <c r="F38" s="22">
        <f t="shared" si="3"/>
        <v>550</v>
      </c>
      <c r="I38" s="17"/>
      <c r="J38" s="17"/>
      <c r="K38" s="17"/>
      <c r="L38" s="17"/>
      <c r="M38" s="17"/>
    </row>
    <row r="39" spans="3:13" ht="18" x14ac:dyDescent="0.3">
      <c r="C39" s="8" t="s">
        <v>71</v>
      </c>
      <c r="D39" s="8" t="s">
        <v>75</v>
      </c>
      <c r="E39" s="8">
        <v>370.33210000000003</v>
      </c>
      <c r="F39" s="22">
        <f t="shared" si="3"/>
        <v>400</v>
      </c>
    </row>
    <row r="40" spans="3:13" ht="18" x14ac:dyDescent="0.3">
      <c r="C40" s="8" t="s">
        <v>72</v>
      </c>
      <c r="D40" s="8" t="s">
        <v>75</v>
      </c>
      <c r="E40" s="8">
        <v>713.89890000000003</v>
      </c>
      <c r="F40" s="22">
        <f t="shared" si="3"/>
        <v>750</v>
      </c>
    </row>
    <row r="41" spans="3:13" ht="18" x14ac:dyDescent="0.3">
      <c r="C41" s="8" t="s">
        <v>71</v>
      </c>
      <c r="D41" s="8" t="s">
        <v>73</v>
      </c>
      <c r="E41" s="8">
        <v>346.45760000000001</v>
      </c>
      <c r="F41" s="22">
        <f t="shared" si="3"/>
        <v>350</v>
      </c>
    </row>
    <row r="42" spans="3:13" ht="18" x14ac:dyDescent="0.3">
      <c r="C42" s="8" t="s">
        <v>72</v>
      </c>
      <c r="D42" s="8" t="s">
        <v>74</v>
      </c>
      <c r="E42" s="8">
        <v>691.64986999999996</v>
      </c>
      <c r="F42" s="22">
        <f t="shared" si="3"/>
        <v>700</v>
      </c>
    </row>
    <row r="43" spans="3:13" ht="18" x14ac:dyDescent="0.3">
      <c r="C43" s="8" t="s">
        <v>72</v>
      </c>
      <c r="D43" s="8" t="s">
        <v>75</v>
      </c>
      <c r="E43" s="8">
        <v>461.55466899999999</v>
      </c>
      <c r="F43" s="22">
        <f t="shared" si="3"/>
        <v>500</v>
      </c>
    </row>
  </sheetData>
  <customSheetViews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C4:L28"/>
  <sheetViews>
    <sheetView topLeftCell="A9" zoomScale="120" zoomScaleNormal="120" workbookViewId="0">
      <selection activeCell="F21" sqref="F21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4.33203125" bestFit="1" customWidth="1"/>
    <col min="6" max="6" width="28.109375" bestFit="1" customWidth="1"/>
    <col min="7" max="7" width="26.21875" customWidth="1"/>
  </cols>
  <sheetData>
    <row r="4" spans="3:12" ht="18" x14ac:dyDescent="0.35">
      <c r="C4" s="9" t="s">
        <v>79</v>
      </c>
      <c r="D4" s="9" t="s">
        <v>78</v>
      </c>
      <c r="E4" s="9" t="s">
        <v>76</v>
      </c>
      <c r="F4" s="9" t="s">
        <v>77</v>
      </c>
    </row>
    <row r="5" spans="3:12" ht="18" x14ac:dyDescent="0.3">
      <c r="C5" s="8" t="s">
        <v>71</v>
      </c>
      <c r="D5" s="8" t="s">
        <v>73</v>
      </c>
      <c r="E5" s="8">
        <v>787</v>
      </c>
      <c r="F5" s="22">
        <f>CEILING(E5,10)</f>
        <v>790</v>
      </c>
    </row>
    <row r="6" spans="3:12" ht="18" x14ac:dyDescent="0.3">
      <c r="C6" s="8" t="s">
        <v>72</v>
      </c>
      <c r="D6" s="8" t="s">
        <v>73</v>
      </c>
      <c r="E6" s="8">
        <v>457</v>
      </c>
      <c r="F6" s="22">
        <f t="shared" ref="F6:F13" si="0">CEILING(E6,10)</f>
        <v>460</v>
      </c>
    </row>
    <row r="7" spans="3:12" ht="18.75" customHeight="1" x14ac:dyDescent="0.3">
      <c r="C7" s="8" t="s">
        <v>71</v>
      </c>
      <c r="D7" s="8" t="s">
        <v>74</v>
      </c>
      <c r="E7" s="8">
        <v>411</v>
      </c>
      <c r="F7" s="22">
        <f t="shared" si="0"/>
        <v>420</v>
      </c>
      <c r="H7" s="18" t="s">
        <v>80</v>
      </c>
      <c r="I7" s="18"/>
      <c r="J7" s="18"/>
      <c r="K7" s="18"/>
      <c r="L7" s="18"/>
    </row>
    <row r="8" spans="3:12" ht="18" x14ac:dyDescent="0.3">
      <c r="C8" s="8" t="s">
        <v>72</v>
      </c>
      <c r="D8" s="8" t="s">
        <v>74</v>
      </c>
      <c r="E8" s="8">
        <v>506</v>
      </c>
      <c r="F8" s="22">
        <f t="shared" si="0"/>
        <v>510</v>
      </c>
      <c r="H8" s="18"/>
      <c r="I8" s="18"/>
      <c r="J8" s="18"/>
      <c r="K8" s="18"/>
      <c r="L8" s="18"/>
    </row>
    <row r="9" spans="3:12" ht="18" x14ac:dyDescent="0.3">
      <c r="C9" s="8" t="s">
        <v>71</v>
      </c>
      <c r="D9" s="8" t="s">
        <v>75</v>
      </c>
      <c r="E9" s="8">
        <v>370</v>
      </c>
      <c r="F9" s="22">
        <f t="shared" si="0"/>
        <v>370</v>
      </c>
    </row>
    <row r="10" spans="3:12" ht="18" x14ac:dyDescent="0.3">
      <c r="C10" s="8" t="s">
        <v>72</v>
      </c>
      <c r="D10" s="8" t="s">
        <v>75</v>
      </c>
      <c r="E10" s="8">
        <v>713</v>
      </c>
      <c r="F10" s="22">
        <f t="shared" si="0"/>
        <v>720</v>
      </c>
    </row>
    <row r="11" spans="3:12" ht="18" x14ac:dyDescent="0.3">
      <c r="C11" s="8" t="s">
        <v>71</v>
      </c>
      <c r="D11" s="8" t="s">
        <v>73</v>
      </c>
      <c r="E11" s="8">
        <v>346</v>
      </c>
      <c r="F11" s="22">
        <f t="shared" si="0"/>
        <v>350</v>
      </c>
    </row>
    <row r="12" spans="3:12" ht="18" x14ac:dyDescent="0.3">
      <c r="C12" s="8" t="s">
        <v>72</v>
      </c>
      <c r="D12" s="8" t="s">
        <v>74</v>
      </c>
      <c r="E12" s="8">
        <v>691</v>
      </c>
      <c r="F12" s="22">
        <f t="shared" si="0"/>
        <v>700</v>
      </c>
    </row>
    <row r="13" spans="3:12" ht="18" x14ac:dyDescent="0.3">
      <c r="C13" s="8" t="s">
        <v>72</v>
      </c>
      <c r="D13" s="8" t="s">
        <v>75</v>
      </c>
      <c r="E13" s="8">
        <v>461</v>
      </c>
      <c r="F13" s="22">
        <f t="shared" si="0"/>
        <v>470</v>
      </c>
    </row>
    <row r="14" spans="3:12" ht="18" x14ac:dyDescent="0.3">
      <c r="F14" s="20"/>
    </row>
    <row r="19" spans="3:12" ht="18" x14ac:dyDescent="0.35">
      <c r="C19" s="9" t="s">
        <v>79</v>
      </c>
      <c r="D19" s="9" t="s">
        <v>78</v>
      </c>
      <c r="E19" s="9" t="s">
        <v>76</v>
      </c>
      <c r="F19" s="9" t="s">
        <v>82</v>
      </c>
    </row>
    <row r="20" spans="3:12" ht="18" x14ac:dyDescent="0.3">
      <c r="C20" s="8" t="s">
        <v>71</v>
      </c>
      <c r="D20" s="8" t="s">
        <v>73</v>
      </c>
      <c r="E20" s="8">
        <v>787</v>
      </c>
      <c r="F20" s="21">
        <f>FLOOR(E20, 50)</f>
        <v>750</v>
      </c>
    </row>
    <row r="21" spans="3:12" ht="18" x14ac:dyDescent="0.3">
      <c r="C21" s="8" t="s">
        <v>72</v>
      </c>
      <c r="D21" s="8" t="s">
        <v>73</v>
      </c>
      <c r="E21" s="8">
        <v>457</v>
      </c>
      <c r="F21" s="21">
        <f t="shared" ref="F21:F28" si="1">FLOOR(E21, 50)</f>
        <v>450</v>
      </c>
    </row>
    <row r="22" spans="3:12" ht="18.75" customHeight="1" x14ac:dyDescent="0.3">
      <c r="C22" s="8" t="s">
        <v>71</v>
      </c>
      <c r="D22" s="8" t="s">
        <v>74</v>
      </c>
      <c r="E22" s="8">
        <v>411</v>
      </c>
      <c r="F22" s="21">
        <f t="shared" si="1"/>
        <v>400</v>
      </c>
      <c r="H22" s="15" t="s">
        <v>81</v>
      </c>
      <c r="I22" s="15"/>
      <c r="J22" s="15"/>
      <c r="K22" s="15"/>
      <c r="L22" s="15"/>
    </row>
    <row r="23" spans="3:12" ht="18" x14ac:dyDescent="0.3">
      <c r="C23" s="8" t="s">
        <v>72</v>
      </c>
      <c r="D23" s="8" t="s">
        <v>74</v>
      </c>
      <c r="E23" s="8">
        <v>506</v>
      </c>
      <c r="F23" s="21">
        <f t="shared" si="1"/>
        <v>500</v>
      </c>
      <c r="H23" s="15"/>
      <c r="I23" s="15"/>
      <c r="J23" s="15"/>
      <c r="K23" s="15"/>
      <c r="L23" s="15"/>
    </row>
    <row r="24" spans="3:12" ht="18" x14ac:dyDescent="0.3">
      <c r="C24" s="8" t="s">
        <v>71</v>
      </c>
      <c r="D24" s="8" t="s">
        <v>75</v>
      </c>
      <c r="E24" s="8">
        <v>370</v>
      </c>
      <c r="F24" s="21">
        <f t="shared" si="1"/>
        <v>350</v>
      </c>
    </row>
    <row r="25" spans="3:12" ht="18" x14ac:dyDescent="0.3">
      <c r="C25" s="8" t="s">
        <v>72</v>
      </c>
      <c r="D25" s="8" t="s">
        <v>75</v>
      </c>
      <c r="E25" s="8">
        <v>713</v>
      </c>
      <c r="F25" s="21">
        <f t="shared" si="1"/>
        <v>700</v>
      </c>
    </row>
    <row r="26" spans="3:12" ht="18" x14ac:dyDescent="0.3">
      <c r="C26" s="8" t="s">
        <v>71</v>
      </c>
      <c r="D26" s="8" t="s">
        <v>73</v>
      </c>
      <c r="E26" s="8">
        <v>346</v>
      </c>
      <c r="F26" s="21">
        <f t="shared" si="1"/>
        <v>300</v>
      </c>
    </row>
    <row r="27" spans="3:12" ht="18" x14ac:dyDescent="0.3">
      <c r="C27" s="8" t="s">
        <v>72</v>
      </c>
      <c r="D27" s="8" t="s">
        <v>74</v>
      </c>
      <c r="E27" s="8">
        <v>691</v>
      </c>
      <c r="F27" s="21">
        <f t="shared" si="1"/>
        <v>650</v>
      </c>
    </row>
    <row r="28" spans="3:12" ht="18" x14ac:dyDescent="0.3">
      <c r="C28" s="8" t="s">
        <v>72</v>
      </c>
      <c r="D28" s="8" t="s">
        <v>75</v>
      </c>
      <c r="E28" s="8">
        <v>461</v>
      </c>
      <c r="F28" s="21">
        <f t="shared" si="1"/>
        <v>450</v>
      </c>
    </row>
  </sheetData>
  <customSheetViews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A5292A6B-6F92-4AB3-B051-EF87F39FC489}" scale="120">
      <selection activeCell="F4" sqref="F4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8E45-EEA8-439C-B106-E2CE8A41D29F}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8671875" defaultRowHeight="15.6" x14ac:dyDescent="0.3"/>
  <cols>
    <col min="1" max="1" width="6.33203125" style="6" bestFit="1" customWidth="1"/>
    <col min="2" max="2" width="24.6640625" style="6" bestFit="1" customWidth="1"/>
    <col min="3" max="3" width="15.88671875" style="6" bestFit="1" customWidth="1"/>
    <col min="4" max="4" width="13.33203125" style="6" bestFit="1" customWidth="1"/>
    <col min="5" max="5" width="13.109375" style="6" bestFit="1" customWidth="1"/>
    <col min="6" max="6" width="14.6640625" style="6" bestFit="1" customWidth="1"/>
    <col min="7" max="7" width="18.44140625" style="6" bestFit="1" customWidth="1"/>
    <col min="8" max="9" width="6.33203125" style="1" customWidth="1"/>
    <col min="10" max="10" width="9.6640625" style="1" bestFit="1" customWidth="1"/>
    <col min="11" max="16384" width="8.88671875" style="1"/>
  </cols>
  <sheetData>
    <row r="1" spans="1:13" x14ac:dyDescent="0.3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3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3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3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3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3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" customHeight="1" x14ac:dyDescent="0.3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19" t="s">
        <v>41</v>
      </c>
      <c r="K7" s="19"/>
      <c r="L7" s="19"/>
      <c r="M7" s="19"/>
    </row>
    <row r="8" spans="1:13" x14ac:dyDescent="0.3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19"/>
      <c r="K8" s="19"/>
      <c r="L8" s="19"/>
      <c r="M8" s="19"/>
    </row>
    <row r="9" spans="1:13" x14ac:dyDescent="0.3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19"/>
      <c r="K9" s="19"/>
      <c r="L9" s="19"/>
      <c r="M9" s="19"/>
    </row>
    <row r="10" spans="1:13" x14ac:dyDescent="0.3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19"/>
      <c r="K10" s="19"/>
      <c r="L10" s="19"/>
      <c r="M10" s="19"/>
    </row>
    <row r="11" spans="1:13" x14ac:dyDescent="0.3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19"/>
      <c r="K11" s="19"/>
      <c r="L11" s="19"/>
      <c r="M11" s="19"/>
    </row>
    <row r="12" spans="1:13" x14ac:dyDescent="0.3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19"/>
      <c r="K12" s="19"/>
      <c r="L12" s="19"/>
      <c r="M12" s="19"/>
    </row>
    <row r="13" spans="1:13" x14ac:dyDescent="0.3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19"/>
      <c r="K13" s="19"/>
      <c r="L13" s="19"/>
      <c r="M13" s="19"/>
    </row>
    <row r="14" spans="1:13" x14ac:dyDescent="0.3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19"/>
      <c r="K14" s="19"/>
      <c r="L14" s="19"/>
      <c r="M14" s="19"/>
    </row>
    <row r="15" spans="1:13" x14ac:dyDescent="0.3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19"/>
      <c r="K15" s="19"/>
      <c r="L15" s="19"/>
      <c r="M15" s="19"/>
    </row>
    <row r="16" spans="1:13" x14ac:dyDescent="0.3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SumIF</vt:lpstr>
      <vt:lpstr>AverageIF</vt:lpstr>
      <vt:lpstr>CountIF</vt:lpstr>
      <vt:lpstr>RUP, RDown &amp; MRound</vt:lpstr>
      <vt:lpstr>Floor &amp; Ceiling</vt:lpstr>
      <vt:lpstr>IFS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Mohammad Arman</cp:lastModifiedBy>
  <dcterms:created xsi:type="dcterms:W3CDTF">2022-03-05T05:03:48Z</dcterms:created>
  <dcterms:modified xsi:type="dcterms:W3CDTF">2023-08-07T18:11:24Z</dcterms:modified>
</cp:coreProperties>
</file>